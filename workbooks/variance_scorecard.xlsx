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Variance" sheetId="2" state="visible" r:id="rId2"/>
  </sheets>
  <definedNames>
    <definedName name="PACING_TARGET">Scorecard!$B$11</definedName>
    <definedName name="VAR_BAND_PCT">Scorecard!$B$12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Georgia"/>
      <b val="1"/>
      <color rgb="001E4B38"/>
      <sz val="14"/>
    </font>
    <font>
      <name val="Georgia"/>
      <b val="1"/>
      <color rgb="001E4B38"/>
      <sz val="11"/>
    </font>
  </fonts>
  <fills count="4">
    <fill>
      <patternFill/>
    </fill>
    <fill>
      <patternFill patternType="gray125"/>
    </fill>
    <fill>
      <patternFill patternType="solid">
        <fgColor rgb="00F3E1E4"/>
      </patternFill>
    </fill>
    <fill>
      <patternFill patternType="solid">
        <fgColor rgb="00F6EEDD"/>
      </patternFill>
    </fill>
  </fills>
  <borders count="2">
    <border>
      <left/>
      <right/>
      <top/>
      <bottom/>
      <diagonal/>
    </border>
    <border>
      <bottom style="double">
        <color rgb="00A68A5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— top 5 lines (synthetic)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'Scorecard'!$D$4:$D$8</f>
            </numRef>
          </cat>
          <val>
            <numRef>
              <f>'Scorecard'!$E$4:$E$8</f>
            </numRef>
          </val>
        </ser>
        <ser>
          <idx val="1"/>
          <order val="1"/>
          <tx>
            <strRef>
              <f>'Scorecard'!F3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'Scorecard'!$D$4:$D$8</f>
            </numRef>
          </cat>
          <val>
            <numRef>
              <f>'Scorecard'!$F$4:$F$8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Variance Scorecard — synthetic FY (seed 20260911)</t>
        </is>
      </c>
    </row>
    <row r="2"/>
    <row r="3">
      <c r="A3" t="inlineStr">
        <is>
          <t>Total budget</t>
        </is>
      </c>
      <c r="B3" s="2" t="n">
        <v>130819</v>
      </c>
      <c r="D3" s="3" t="inlineStr">
        <is>
          <t>Line</t>
        </is>
      </c>
      <c r="E3" s="3" t="inlineStr">
        <is>
          <t>Budget</t>
        </is>
      </c>
      <c r="F3" s="3" t="inlineStr">
        <is>
          <t>Actual</t>
        </is>
      </c>
    </row>
    <row r="4">
      <c r="A4" t="inlineStr">
        <is>
          <t>Total actual</t>
        </is>
      </c>
      <c r="B4" s="2" t="n">
        <v>133693</v>
      </c>
      <c r="D4" t="inlineStr">
        <is>
          <t>L-100</t>
        </is>
      </c>
      <c r="E4" s="2" t="n">
        <v>23560</v>
      </c>
      <c r="F4" s="2" t="n">
        <v>24873</v>
      </c>
    </row>
    <row r="5">
      <c r="A5" t="inlineStr">
        <is>
          <t>Variance $</t>
        </is>
      </c>
      <c r="B5" s="2" t="n">
        <v>2874</v>
      </c>
      <c r="D5" t="inlineStr">
        <is>
          <t>L-600</t>
        </is>
      </c>
      <c r="E5" s="2" t="n">
        <v>27235</v>
      </c>
      <c r="F5" s="2" t="n">
        <v>28535</v>
      </c>
    </row>
    <row r="6">
      <c r="A6" t="inlineStr">
        <is>
          <t>Variance %</t>
        </is>
      </c>
      <c r="B6" s="4" t="n">
        <v>2.196928580710753</v>
      </c>
      <c r="D6" t="inlineStr">
        <is>
          <t>L-300</t>
        </is>
      </c>
      <c r="E6" s="2" t="n">
        <v>21419</v>
      </c>
      <c r="F6" s="2" t="n">
        <v>22650</v>
      </c>
    </row>
    <row r="7">
      <c r="A7" t="inlineStr">
        <is>
          <t>Pacing target (named range)</t>
        </is>
      </c>
      <c r="B7" s="5">
        <f>PACING_TARGET</f>
        <v/>
      </c>
      <c r="D7" t="inlineStr">
        <is>
          <t>L-200</t>
        </is>
      </c>
      <c r="E7" s="2" t="n">
        <v>18613</v>
      </c>
      <c r="F7" s="2" t="n">
        <v>17562</v>
      </c>
    </row>
    <row r="8">
      <c r="D8" t="inlineStr">
        <is>
          <t>L-400</t>
        </is>
      </c>
      <c r="E8" s="2" t="n">
        <v>22402</v>
      </c>
      <c r="F8" s="2" t="n">
        <v>22483</v>
      </c>
    </row>
    <row r="9"/>
    <row r="10">
      <c r="A10" t="inlineStr">
        <is>
          <t>Thresholds</t>
        </is>
      </c>
    </row>
    <row r="11">
      <c r="A11" t="inlineStr">
        <is>
          <t>Pacing target (edit me)</t>
        </is>
      </c>
      <c r="B11" t="n">
        <v>0.85</v>
      </c>
    </row>
    <row r="12">
      <c r="A12" t="inlineStr">
        <is>
          <t>amber variance band &gt;%</t>
        </is>
      </c>
      <c r="B12" t="n">
        <v>10</v>
      </c>
    </row>
    <row r="13">
      <c r="A13" t="inlineStr">
        <is>
          <t>red variance band &gt;%</t>
        </is>
      </c>
      <c r="B13" t="n">
        <v>25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Variance detail (flagged rows mirror python/variance.py)</t>
        </is>
      </c>
    </row>
    <row r="2"/>
    <row r="3">
      <c r="A3" s="3" t="inlineStr">
        <is>
          <t>Line</t>
        </is>
      </c>
      <c r="B3" s="3" t="inlineStr">
        <is>
          <t>LineName</t>
        </is>
      </c>
      <c r="C3" s="3" t="inlineStr">
        <is>
          <t>ObjectClass</t>
        </is>
      </c>
      <c r="D3" s="3" t="inlineStr">
        <is>
          <t>Budget</t>
        </is>
      </c>
      <c r="E3" s="3" t="inlineStr">
        <is>
          <t>Actual</t>
        </is>
      </c>
      <c r="F3" s="3" t="inlineStr">
        <is>
          <t>Var$</t>
        </is>
      </c>
      <c r="G3" s="3" t="inlineStr">
        <is>
          <t>Var%</t>
        </is>
      </c>
      <c r="H3" s="3" t="inlineStr">
        <is>
          <t>Flag</t>
        </is>
      </c>
    </row>
    <row r="4">
      <c r="A4" t="inlineStr">
        <is>
          <t>L-100</t>
        </is>
      </c>
      <c r="B4" t="inlineStr">
        <is>
          <t>Clinical Services</t>
        </is>
      </c>
      <c r="C4" t="inlineStr">
        <is>
          <t>11.1</t>
        </is>
      </c>
      <c r="D4" s="2" t="n">
        <v>2420</v>
      </c>
      <c r="E4" s="2" t="n">
        <v>2420</v>
      </c>
      <c r="F4" s="2" t="n">
        <v>0</v>
      </c>
      <c r="G4" s="4" t="n">
        <v>0</v>
      </c>
      <c r="H4" t="inlineStr">
        <is>
          <t>OK</t>
        </is>
      </c>
    </row>
    <row r="5">
      <c r="A5" t="inlineStr">
        <is>
          <t>L-100</t>
        </is>
      </c>
      <c r="B5" t="inlineStr">
        <is>
          <t>Clinical Services</t>
        </is>
      </c>
      <c r="C5" t="inlineStr">
        <is>
          <t>11.2</t>
        </is>
      </c>
      <c r="D5" s="2" t="n">
        <v>422</v>
      </c>
      <c r="E5" s="2" t="n">
        <v>422</v>
      </c>
      <c r="F5" s="2" t="n">
        <v>0</v>
      </c>
      <c r="G5" s="4" t="n">
        <v>0</v>
      </c>
      <c r="H5" t="inlineStr">
        <is>
          <t>OK</t>
        </is>
      </c>
    </row>
    <row r="6">
      <c r="A6" t="inlineStr">
        <is>
          <t>L-100</t>
        </is>
      </c>
      <c r="B6" t="inlineStr">
        <is>
          <t>Clinical Services</t>
        </is>
      </c>
      <c r="C6" t="inlineStr">
        <is>
          <t>13.1</t>
        </is>
      </c>
      <c r="D6" s="2" t="n">
        <v>4836</v>
      </c>
      <c r="E6" s="2" t="n">
        <v>4836</v>
      </c>
      <c r="F6" s="2" t="n">
        <v>0</v>
      </c>
      <c r="G6" s="4" t="n">
        <v>0</v>
      </c>
      <c r="H6" t="inlineStr">
        <is>
          <t>OK</t>
        </is>
      </c>
    </row>
    <row r="7">
      <c r="A7" t="inlineStr">
        <is>
          <t>L-100</t>
        </is>
      </c>
      <c r="B7" t="inlineStr">
        <is>
          <t>Clinical Services</t>
        </is>
      </c>
      <c r="C7" t="inlineStr">
        <is>
          <t>25.0</t>
        </is>
      </c>
      <c r="D7" s="2" t="n">
        <v>3455</v>
      </c>
      <c r="E7" s="2" t="n">
        <v>3455</v>
      </c>
      <c r="F7" s="2" t="n">
        <v>0</v>
      </c>
      <c r="G7" s="4" t="n">
        <v>0</v>
      </c>
      <c r="H7" t="inlineStr">
        <is>
          <t>OK</t>
        </is>
      </c>
    </row>
    <row r="8">
      <c r="A8" t="inlineStr">
        <is>
          <t>L-100</t>
        </is>
      </c>
      <c r="B8" t="inlineStr">
        <is>
          <t>Clinical Services</t>
        </is>
      </c>
      <c r="C8" t="inlineStr">
        <is>
          <t>31.0</t>
        </is>
      </c>
      <c r="D8" s="2" t="n">
        <v>304</v>
      </c>
      <c r="E8" s="2" t="n">
        <v>304</v>
      </c>
      <c r="F8" s="2" t="n">
        <v>0</v>
      </c>
      <c r="G8" s="4" t="n">
        <v>0</v>
      </c>
      <c r="H8" t="inlineStr">
        <is>
          <t>OK</t>
        </is>
      </c>
    </row>
    <row r="9">
      <c r="A9" t="inlineStr">
        <is>
          <t>L-100</t>
        </is>
      </c>
      <c r="B9" t="inlineStr">
        <is>
          <t>Clinical Services</t>
        </is>
      </c>
      <c r="C9" t="inlineStr">
        <is>
          <t>33.0</t>
        </is>
      </c>
      <c r="D9" s="2" t="n">
        <v>4636</v>
      </c>
      <c r="E9" s="2" t="n">
        <v>4636</v>
      </c>
      <c r="F9" s="2" t="n">
        <v>0</v>
      </c>
      <c r="G9" s="4" t="n">
        <v>0</v>
      </c>
      <c r="H9" t="inlineStr">
        <is>
          <t>OK</t>
        </is>
      </c>
    </row>
    <row r="10">
      <c r="A10" t="inlineStr">
        <is>
          <t>L-100</t>
        </is>
      </c>
      <c r="B10" t="inlineStr">
        <is>
          <t>Clinical Services</t>
        </is>
      </c>
      <c r="C10" t="inlineStr">
        <is>
          <t>95.0</t>
        </is>
      </c>
      <c r="D10" s="2" t="n">
        <v>3109</v>
      </c>
      <c r="E10" s="2" t="n">
        <v>3109</v>
      </c>
      <c r="F10" s="2" t="n">
        <v>0</v>
      </c>
      <c r="G10" s="4" t="n">
        <v>0</v>
      </c>
      <c r="H10" t="inlineStr">
        <is>
          <t>OK</t>
        </is>
      </c>
    </row>
    <row r="11">
      <c r="A11" t="inlineStr">
        <is>
          <t>L-200</t>
        </is>
      </c>
      <c r="B11" t="inlineStr">
        <is>
          <t>Outpatient Care</t>
        </is>
      </c>
      <c r="C11" t="inlineStr">
        <is>
          <t>12.1</t>
        </is>
      </c>
      <c r="D11" s="2" t="n">
        <v>2882</v>
      </c>
      <c r="E11" s="2" t="n">
        <v>2882</v>
      </c>
      <c r="F11" s="2" t="n">
        <v>0</v>
      </c>
      <c r="G11" s="4" t="n">
        <v>0</v>
      </c>
      <c r="H11" t="inlineStr">
        <is>
          <t>OK</t>
        </is>
      </c>
    </row>
    <row r="12">
      <c r="A12" t="inlineStr">
        <is>
          <t>L-200</t>
        </is>
      </c>
      <c r="B12" t="inlineStr">
        <is>
          <t>Outpatient Care</t>
        </is>
      </c>
      <c r="C12" t="inlineStr">
        <is>
          <t>13.1</t>
        </is>
      </c>
      <c r="D12" s="2" t="n">
        <v>2526</v>
      </c>
      <c r="E12" s="2" t="n">
        <v>2526</v>
      </c>
      <c r="F12" s="2" t="n">
        <v>0</v>
      </c>
      <c r="G12" s="4" t="n">
        <v>0</v>
      </c>
      <c r="H12" t="inlineStr">
        <is>
          <t>OK</t>
        </is>
      </c>
    </row>
    <row r="13">
      <c r="A13" t="inlineStr">
        <is>
          <t>L-200</t>
        </is>
      </c>
      <c r="B13" t="inlineStr">
        <is>
          <t>Outpatient Care</t>
        </is>
      </c>
      <c r="C13" t="inlineStr">
        <is>
          <t>25.0</t>
        </is>
      </c>
      <c r="D13" s="2" t="n">
        <v>1546</v>
      </c>
      <c r="E13" s="2" t="n">
        <v>1546</v>
      </c>
      <c r="F13" s="2" t="n">
        <v>0</v>
      </c>
      <c r="G13" s="4" t="n">
        <v>0</v>
      </c>
      <c r="H13" t="inlineStr">
        <is>
          <t>OK</t>
        </is>
      </c>
    </row>
    <row r="14">
      <c r="A14" t="inlineStr">
        <is>
          <t>L-200</t>
        </is>
      </c>
      <c r="B14" t="inlineStr">
        <is>
          <t>Outpatient Care</t>
        </is>
      </c>
      <c r="C14" t="inlineStr">
        <is>
          <t>31.0</t>
        </is>
      </c>
      <c r="D14" s="2" t="n">
        <v>4086</v>
      </c>
      <c r="E14" s="2" t="n">
        <v>4086</v>
      </c>
      <c r="F14" s="2" t="n">
        <v>0</v>
      </c>
      <c r="G14" s="4" t="n">
        <v>0</v>
      </c>
      <c r="H14" t="inlineStr">
        <is>
          <t>OK</t>
        </is>
      </c>
    </row>
    <row r="15">
      <c r="A15" t="inlineStr">
        <is>
          <t>L-200</t>
        </is>
      </c>
      <c r="B15" t="inlineStr">
        <is>
          <t>Outpatient Care</t>
        </is>
      </c>
      <c r="C15" t="inlineStr">
        <is>
          <t>95.0</t>
        </is>
      </c>
      <c r="D15" s="2" t="n">
        <v>263</v>
      </c>
      <c r="E15" s="2" t="n">
        <v>263</v>
      </c>
      <c r="F15" s="2" t="n">
        <v>0</v>
      </c>
      <c r="G15" s="4" t="n">
        <v>0</v>
      </c>
      <c r="H15" t="inlineStr">
        <is>
          <t>OK</t>
        </is>
      </c>
    </row>
    <row r="16">
      <c r="A16" t="inlineStr">
        <is>
          <t>L-300</t>
        </is>
      </c>
      <c r="B16" t="inlineStr">
        <is>
          <t>Inpatient Care</t>
        </is>
      </c>
      <c r="C16" t="inlineStr">
        <is>
          <t>11.1</t>
        </is>
      </c>
      <c r="D16" s="2" t="n">
        <v>4776</v>
      </c>
      <c r="E16" s="2" t="n">
        <v>4776</v>
      </c>
      <c r="F16" s="2" t="n">
        <v>0</v>
      </c>
      <c r="G16" s="4" t="n">
        <v>0</v>
      </c>
      <c r="H16" t="inlineStr">
        <is>
          <t>OK</t>
        </is>
      </c>
    </row>
    <row r="17">
      <c r="A17" t="inlineStr">
        <is>
          <t>L-300</t>
        </is>
      </c>
      <c r="B17" t="inlineStr">
        <is>
          <t>Inpatient Care</t>
        </is>
      </c>
      <c r="C17" t="inlineStr">
        <is>
          <t>11.2</t>
        </is>
      </c>
      <c r="D17" s="2" t="n">
        <v>2516</v>
      </c>
      <c r="E17" s="2" t="n">
        <v>2516</v>
      </c>
      <c r="F17" s="2" t="n">
        <v>0</v>
      </c>
      <c r="G17" s="4" t="n">
        <v>0</v>
      </c>
      <c r="H17" t="inlineStr">
        <is>
          <t>OK</t>
        </is>
      </c>
    </row>
    <row r="18">
      <c r="A18" t="inlineStr">
        <is>
          <t>L-300</t>
        </is>
      </c>
      <c r="B18" t="inlineStr">
        <is>
          <t>Inpatient Care</t>
        </is>
      </c>
      <c r="C18" t="inlineStr">
        <is>
          <t>12.1</t>
        </is>
      </c>
      <c r="D18" s="2" t="n">
        <v>2176</v>
      </c>
      <c r="E18" s="2" t="n">
        <v>2176</v>
      </c>
      <c r="F18" s="2" t="n">
        <v>0</v>
      </c>
      <c r="G18" s="4" t="n">
        <v>0</v>
      </c>
      <c r="H18" t="inlineStr">
        <is>
          <t>OK</t>
        </is>
      </c>
    </row>
    <row r="19">
      <c r="A19" t="inlineStr">
        <is>
          <t>L-300</t>
        </is>
      </c>
      <c r="B19" t="inlineStr">
        <is>
          <t>Inpatient Care</t>
        </is>
      </c>
      <c r="C19" t="inlineStr">
        <is>
          <t>13.1</t>
        </is>
      </c>
      <c r="D19" s="2" t="n">
        <v>4370</v>
      </c>
      <c r="E19" s="2" t="n">
        <v>4370</v>
      </c>
      <c r="F19" s="2" t="n">
        <v>0</v>
      </c>
      <c r="G19" s="4" t="n">
        <v>0</v>
      </c>
      <c r="H19" t="inlineStr">
        <is>
          <t>OK</t>
        </is>
      </c>
    </row>
    <row r="20">
      <c r="A20" t="inlineStr">
        <is>
          <t>L-300</t>
        </is>
      </c>
      <c r="B20" t="inlineStr">
        <is>
          <t>Inpatient Care</t>
        </is>
      </c>
      <c r="C20" t="inlineStr">
        <is>
          <t>25.0</t>
        </is>
      </c>
      <c r="D20" s="2" t="n">
        <v>3479</v>
      </c>
      <c r="E20" s="2" t="n">
        <v>3479</v>
      </c>
      <c r="F20" s="2" t="n">
        <v>0</v>
      </c>
      <c r="G20" s="4" t="n">
        <v>0</v>
      </c>
      <c r="H20" t="inlineStr">
        <is>
          <t>OK</t>
        </is>
      </c>
    </row>
    <row r="21">
      <c r="A21" t="inlineStr">
        <is>
          <t>L-400</t>
        </is>
      </c>
      <c r="B21" t="inlineStr">
        <is>
          <t>Pharmacy Operations</t>
        </is>
      </c>
      <c r="C21" t="inlineStr">
        <is>
          <t>11.2</t>
        </is>
      </c>
      <c r="D21" s="2" t="n">
        <v>4156</v>
      </c>
      <c r="E21" s="2" t="n">
        <v>4156</v>
      </c>
      <c r="F21" s="2" t="n">
        <v>0</v>
      </c>
      <c r="G21" s="4" t="n">
        <v>0</v>
      </c>
      <c r="H21" t="inlineStr">
        <is>
          <t>OK</t>
        </is>
      </c>
    </row>
    <row r="22">
      <c r="A22" t="inlineStr">
        <is>
          <t>L-400</t>
        </is>
      </c>
      <c r="B22" t="inlineStr">
        <is>
          <t>Pharmacy Operations</t>
        </is>
      </c>
      <c r="C22" t="inlineStr">
        <is>
          <t>12.1</t>
        </is>
      </c>
      <c r="D22" s="2" t="n">
        <v>2000</v>
      </c>
      <c r="E22" s="2" t="n">
        <v>2000</v>
      </c>
      <c r="F22" s="2" t="n">
        <v>0</v>
      </c>
      <c r="G22" s="4" t="n">
        <v>0</v>
      </c>
      <c r="H22" t="inlineStr">
        <is>
          <t>OK</t>
        </is>
      </c>
    </row>
    <row r="23">
      <c r="A23" t="inlineStr">
        <is>
          <t>L-400</t>
        </is>
      </c>
      <c r="B23" t="inlineStr">
        <is>
          <t>Pharmacy Operations</t>
        </is>
      </c>
      <c r="C23" t="inlineStr">
        <is>
          <t>13.1</t>
        </is>
      </c>
      <c r="D23" s="2" t="n">
        <v>325</v>
      </c>
      <c r="E23" s="2" t="n">
        <v>325</v>
      </c>
      <c r="F23" s="2" t="n">
        <v>0</v>
      </c>
      <c r="G23" s="4" t="n">
        <v>0</v>
      </c>
      <c r="H23" t="inlineStr">
        <is>
          <t>OK</t>
        </is>
      </c>
    </row>
    <row r="24">
      <c r="A24" t="inlineStr">
        <is>
          <t>L-400</t>
        </is>
      </c>
      <c r="B24" t="inlineStr">
        <is>
          <t>Pharmacy Operations</t>
        </is>
      </c>
      <c r="C24" t="inlineStr">
        <is>
          <t>33.0</t>
        </is>
      </c>
      <c r="D24" s="2" t="n">
        <v>4840</v>
      </c>
      <c r="E24" s="2" t="n">
        <v>4840</v>
      </c>
      <c r="F24" s="2" t="n">
        <v>0</v>
      </c>
      <c r="G24" s="4" t="n">
        <v>0</v>
      </c>
      <c r="H24" t="inlineStr">
        <is>
          <t>OK</t>
        </is>
      </c>
    </row>
    <row r="25">
      <c r="A25" t="inlineStr">
        <is>
          <t>L-400</t>
        </is>
      </c>
      <c r="B25" t="inlineStr">
        <is>
          <t>Pharmacy Operations</t>
        </is>
      </c>
      <c r="C25" t="inlineStr">
        <is>
          <t>95.0</t>
        </is>
      </c>
      <c r="D25" s="2" t="n">
        <v>1575</v>
      </c>
      <c r="E25" s="2" t="n">
        <v>1575</v>
      </c>
      <c r="F25" s="2" t="n">
        <v>0</v>
      </c>
      <c r="G25" s="4" t="n">
        <v>0</v>
      </c>
      <c r="H25" t="inlineStr">
        <is>
          <t>OK</t>
        </is>
      </c>
    </row>
    <row r="26">
      <c r="A26" t="inlineStr">
        <is>
          <t>L-500</t>
        </is>
      </c>
      <c r="B26" t="inlineStr">
        <is>
          <t>Patient Support</t>
        </is>
      </c>
      <c r="C26" t="inlineStr">
        <is>
          <t>11.2</t>
        </is>
      </c>
      <c r="D26" s="2" t="n">
        <v>994</v>
      </c>
      <c r="E26" s="2" t="n">
        <v>994</v>
      </c>
      <c r="F26" s="2" t="n">
        <v>0</v>
      </c>
      <c r="G26" s="4" t="n">
        <v>0</v>
      </c>
      <c r="H26" t="inlineStr">
        <is>
          <t>OK</t>
        </is>
      </c>
    </row>
    <row r="27">
      <c r="A27" t="inlineStr">
        <is>
          <t>L-500</t>
        </is>
      </c>
      <c r="B27" t="inlineStr">
        <is>
          <t>Patient Support</t>
        </is>
      </c>
      <c r="C27" t="inlineStr">
        <is>
          <t>12.1</t>
        </is>
      </c>
      <c r="D27" s="2" t="n">
        <v>1068</v>
      </c>
      <c r="E27" s="2" t="n">
        <v>1068</v>
      </c>
      <c r="F27" s="2" t="n">
        <v>0</v>
      </c>
      <c r="G27" s="4" t="n">
        <v>0</v>
      </c>
      <c r="H27" t="inlineStr">
        <is>
          <t>OK</t>
        </is>
      </c>
    </row>
    <row r="28">
      <c r="A28" t="inlineStr">
        <is>
          <t>L-500</t>
        </is>
      </c>
      <c r="B28" t="inlineStr">
        <is>
          <t>Patient Support</t>
        </is>
      </c>
      <c r="C28" t="inlineStr">
        <is>
          <t>31.0</t>
        </is>
      </c>
      <c r="D28" s="2" t="n">
        <v>1732</v>
      </c>
      <c r="E28" s="2" t="n">
        <v>1732</v>
      </c>
      <c r="F28" s="2" t="n">
        <v>0</v>
      </c>
      <c r="G28" s="4" t="n">
        <v>0</v>
      </c>
      <c r="H28" t="inlineStr">
        <is>
          <t>OK</t>
        </is>
      </c>
    </row>
    <row r="29">
      <c r="A29" t="inlineStr">
        <is>
          <t>L-500</t>
        </is>
      </c>
      <c r="B29" t="inlineStr">
        <is>
          <t>Patient Support</t>
        </is>
      </c>
      <c r="C29" t="inlineStr">
        <is>
          <t>33.0</t>
        </is>
      </c>
      <c r="D29" s="2" t="n">
        <v>2789</v>
      </c>
      <c r="E29" s="2" t="n">
        <v>2789</v>
      </c>
      <c r="F29" s="2" t="n">
        <v>0</v>
      </c>
      <c r="G29" s="4" t="n">
        <v>0</v>
      </c>
      <c r="H29" t="inlineStr">
        <is>
          <t>OK</t>
        </is>
      </c>
    </row>
    <row r="30">
      <c r="A30" t="inlineStr">
        <is>
          <t>L-500</t>
        </is>
      </c>
      <c r="B30" t="inlineStr">
        <is>
          <t>Patient Support</t>
        </is>
      </c>
      <c r="C30" t="inlineStr">
        <is>
          <t>95.0</t>
        </is>
      </c>
      <c r="D30" s="2" t="n">
        <v>2360</v>
      </c>
      <c r="E30" s="2" t="n">
        <v>2360</v>
      </c>
      <c r="F30" s="2" t="n">
        <v>0</v>
      </c>
      <c r="G30" s="4" t="n">
        <v>0</v>
      </c>
      <c r="H30" t="inlineStr">
        <is>
          <t>OK</t>
        </is>
      </c>
    </row>
    <row r="31">
      <c r="A31" t="inlineStr">
        <is>
          <t>L-600</t>
        </is>
      </c>
      <c r="B31" t="inlineStr">
        <is>
          <t>Administrative &amp; General</t>
        </is>
      </c>
      <c r="C31" t="inlineStr">
        <is>
          <t>11.1</t>
        </is>
      </c>
      <c r="D31" s="2" t="n">
        <v>4364</v>
      </c>
      <c r="E31" s="2" t="n">
        <v>4364</v>
      </c>
      <c r="F31" s="2" t="n">
        <v>0</v>
      </c>
      <c r="G31" s="4" t="n">
        <v>0</v>
      </c>
      <c r="H31" t="inlineStr">
        <is>
          <t>OK</t>
        </is>
      </c>
    </row>
    <row r="32">
      <c r="A32" t="inlineStr">
        <is>
          <t>L-600</t>
        </is>
      </c>
      <c r="B32" t="inlineStr">
        <is>
          <t>Administrative &amp; General</t>
        </is>
      </c>
      <c r="C32" t="inlineStr">
        <is>
          <t>12.1</t>
        </is>
      </c>
      <c r="D32" s="2" t="n">
        <v>2862</v>
      </c>
      <c r="E32" s="2" t="n">
        <v>2862</v>
      </c>
      <c r="F32" s="2" t="n">
        <v>0</v>
      </c>
      <c r="G32" s="4" t="n">
        <v>0</v>
      </c>
      <c r="H32" t="inlineStr">
        <is>
          <t>OK</t>
        </is>
      </c>
    </row>
    <row r="33">
      <c r="A33" t="inlineStr">
        <is>
          <t>L-600</t>
        </is>
      </c>
      <c r="B33" t="inlineStr">
        <is>
          <t>Administrative &amp; General</t>
        </is>
      </c>
      <c r="C33" t="inlineStr">
        <is>
          <t>33.0</t>
        </is>
      </c>
      <c r="D33" s="2" t="n">
        <v>3812</v>
      </c>
      <c r="E33" s="2" t="n">
        <v>3812</v>
      </c>
      <c r="F33" s="2" t="n">
        <v>0</v>
      </c>
      <c r="G33" s="4" t="n">
        <v>0</v>
      </c>
      <c r="H33" t="inlineStr">
        <is>
          <t>OK</t>
        </is>
      </c>
    </row>
    <row r="34">
      <c r="A34" t="inlineStr">
        <is>
          <t>L-600</t>
        </is>
      </c>
      <c r="B34" t="inlineStr">
        <is>
          <t>Administrative &amp; General</t>
        </is>
      </c>
      <c r="C34" t="inlineStr">
        <is>
          <t>95.0</t>
        </is>
      </c>
      <c r="D34" s="2" t="n">
        <v>3159</v>
      </c>
      <c r="E34" s="2" t="n">
        <v>3159</v>
      </c>
      <c r="F34" s="2" t="n">
        <v>0</v>
      </c>
      <c r="G34" s="4" t="n">
        <v>0</v>
      </c>
      <c r="H34" t="inlineStr">
        <is>
          <t>OK</t>
        </is>
      </c>
    </row>
    <row r="35">
      <c r="A35" s="6" t="inlineStr">
        <is>
          <t>L-300</t>
        </is>
      </c>
      <c r="B35" s="6" t="inlineStr">
        <is>
          <t>Inpatient Care</t>
        </is>
      </c>
      <c r="C35" s="6" t="inlineStr">
        <is>
          <t>33.0</t>
        </is>
      </c>
      <c r="D35" s="7" t="n">
        <v>979</v>
      </c>
      <c r="E35" s="7" t="n">
        <v>1273</v>
      </c>
      <c r="F35" s="7" t="n">
        <v>294</v>
      </c>
      <c r="G35" s="8" t="n">
        <v>30</v>
      </c>
      <c r="H35" s="6" t="inlineStr">
        <is>
          <t>RED</t>
        </is>
      </c>
    </row>
    <row r="36">
      <c r="A36" s="6" t="inlineStr">
        <is>
          <t>L-200</t>
        </is>
      </c>
      <c r="B36" s="6" t="inlineStr">
        <is>
          <t>Outpatient Care</t>
        </is>
      </c>
      <c r="C36" s="6" t="inlineStr">
        <is>
          <t>11.2</t>
        </is>
      </c>
      <c r="D36" s="7" t="n">
        <v>1582</v>
      </c>
      <c r="E36" s="7" t="n">
        <v>1107</v>
      </c>
      <c r="F36" s="7" t="n">
        <v>-475</v>
      </c>
      <c r="G36" s="8" t="n">
        <v>-30</v>
      </c>
      <c r="H36" s="6" t="inlineStr">
        <is>
          <t>RED</t>
        </is>
      </c>
    </row>
    <row r="37">
      <c r="A37" s="6" t="inlineStr">
        <is>
          <t>L-300</t>
        </is>
      </c>
      <c r="B37" s="6" t="inlineStr">
        <is>
          <t>Inpatient Care</t>
        </is>
      </c>
      <c r="C37" s="6" t="inlineStr">
        <is>
          <t>95.0</t>
        </is>
      </c>
      <c r="D37" s="7" t="n">
        <v>2693</v>
      </c>
      <c r="E37" s="7" t="n">
        <v>3501</v>
      </c>
      <c r="F37" s="7" t="n">
        <v>808</v>
      </c>
      <c r="G37" s="8" t="n">
        <v>30</v>
      </c>
      <c r="H37" s="6" t="inlineStr">
        <is>
          <t>RED</t>
        </is>
      </c>
    </row>
    <row r="38">
      <c r="A38" s="6" t="inlineStr">
        <is>
          <t>L-500</t>
        </is>
      </c>
      <c r="B38" s="6" t="inlineStr">
        <is>
          <t>Patient Support</t>
        </is>
      </c>
      <c r="C38" s="6" t="inlineStr">
        <is>
          <t>13.1</t>
        </is>
      </c>
      <c r="D38" s="7" t="n">
        <v>2883</v>
      </c>
      <c r="E38" s="7" t="n">
        <v>2018</v>
      </c>
      <c r="F38" s="7" t="n">
        <v>-865</v>
      </c>
      <c r="G38" s="8" t="n">
        <v>-30</v>
      </c>
      <c r="H38" s="6" t="inlineStr">
        <is>
          <t>RED</t>
        </is>
      </c>
    </row>
    <row r="39">
      <c r="A39" s="6" t="inlineStr">
        <is>
          <t>L-200</t>
        </is>
      </c>
      <c r="B39" s="6" t="inlineStr">
        <is>
          <t>Outpatient Care</t>
        </is>
      </c>
      <c r="C39" s="6" t="inlineStr">
        <is>
          <t>33.0</t>
        </is>
      </c>
      <c r="D39" s="7" t="n">
        <v>3823</v>
      </c>
      <c r="E39" s="7" t="n">
        <v>2676</v>
      </c>
      <c r="F39" s="7" t="n">
        <v>-1147</v>
      </c>
      <c r="G39" s="8" t="n">
        <v>-30</v>
      </c>
      <c r="H39" s="6" t="inlineStr">
        <is>
          <t>RED</t>
        </is>
      </c>
    </row>
    <row r="40">
      <c r="A40" s="6" t="inlineStr">
        <is>
          <t>L-300</t>
        </is>
      </c>
      <c r="B40" s="6" t="inlineStr">
        <is>
          <t>Inpatient Care</t>
        </is>
      </c>
      <c r="C40" s="6" t="inlineStr">
        <is>
          <t>31.0</t>
        </is>
      </c>
      <c r="D40" s="7" t="n">
        <v>430</v>
      </c>
      <c r="E40" s="7" t="n">
        <v>559</v>
      </c>
      <c r="F40" s="7" t="n">
        <v>129</v>
      </c>
      <c r="G40" s="8" t="n">
        <v>30</v>
      </c>
      <c r="H40" s="6" t="inlineStr">
        <is>
          <t>RED</t>
        </is>
      </c>
    </row>
    <row r="41">
      <c r="A41" s="6" t="inlineStr">
        <is>
          <t>L-100</t>
        </is>
      </c>
      <c r="B41" s="6" t="inlineStr">
        <is>
          <t>Clinical Services</t>
        </is>
      </c>
      <c r="C41" s="6" t="inlineStr">
        <is>
          <t>12.1</t>
        </is>
      </c>
      <c r="D41" s="7" t="n">
        <v>4378</v>
      </c>
      <c r="E41" s="7" t="n">
        <v>5691</v>
      </c>
      <c r="F41" s="7" t="n">
        <v>1313</v>
      </c>
      <c r="G41" s="8" t="n">
        <v>30</v>
      </c>
      <c r="H41" s="6" t="inlineStr">
        <is>
          <t>RED</t>
        </is>
      </c>
    </row>
    <row r="42">
      <c r="A42" s="6" t="inlineStr">
        <is>
          <t>L-400</t>
        </is>
      </c>
      <c r="B42" s="6" t="inlineStr">
        <is>
          <t>Pharmacy Operations</t>
        </is>
      </c>
      <c r="C42" s="6" t="inlineStr">
        <is>
          <t>31.0</t>
        </is>
      </c>
      <c r="D42" s="7" t="n">
        <v>3905</v>
      </c>
      <c r="E42" s="7" t="n">
        <v>5076</v>
      </c>
      <c r="F42" s="7" t="n">
        <v>1171</v>
      </c>
      <c r="G42" s="8" t="n">
        <v>30</v>
      </c>
      <c r="H42" s="6" t="inlineStr">
        <is>
          <t>RED</t>
        </is>
      </c>
    </row>
    <row r="43">
      <c r="A43" s="6" t="inlineStr">
        <is>
          <t>L-400</t>
        </is>
      </c>
      <c r="B43" s="6" t="inlineStr">
        <is>
          <t>Pharmacy Operations</t>
        </is>
      </c>
      <c r="C43" s="6" t="inlineStr">
        <is>
          <t>11.1</t>
        </is>
      </c>
      <c r="D43" s="7" t="n">
        <v>1668</v>
      </c>
      <c r="E43" s="7" t="n">
        <v>1168</v>
      </c>
      <c r="F43" s="7" t="n">
        <v>-500</v>
      </c>
      <c r="G43" s="8" t="n">
        <v>-30</v>
      </c>
      <c r="H43" s="6" t="inlineStr">
        <is>
          <t>RED</t>
        </is>
      </c>
    </row>
    <row r="44">
      <c r="A44" s="6" t="inlineStr">
        <is>
          <t>L-200</t>
        </is>
      </c>
      <c r="B44" s="6" t="inlineStr">
        <is>
          <t>Outpatient Care</t>
        </is>
      </c>
      <c r="C44" s="6" t="inlineStr">
        <is>
          <t>11.1</t>
        </is>
      </c>
      <c r="D44" s="7" t="n">
        <v>1905</v>
      </c>
      <c r="E44" s="7" t="n">
        <v>2476</v>
      </c>
      <c r="F44" s="7" t="n">
        <v>571</v>
      </c>
      <c r="G44" s="8" t="n">
        <v>30</v>
      </c>
      <c r="H44" s="6" t="inlineStr">
        <is>
          <t>RED</t>
        </is>
      </c>
    </row>
    <row r="45">
      <c r="A45" s="9" t="inlineStr">
        <is>
          <t>L-500</t>
        </is>
      </c>
      <c r="B45" s="9" t="inlineStr">
        <is>
          <t>Patient Support</t>
        </is>
      </c>
      <c r="C45" s="9" t="inlineStr">
        <is>
          <t>25.0</t>
        </is>
      </c>
      <c r="D45" s="10" t="n">
        <v>1645</v>
      </c>
      <c r="E45" s="10" t="n">
        <v>1892</v>
      </c>
      <c r="F45" s="10" t="n">
        <v>247</v>
      </c>
      <c r="G45" s="11" t="n">
        <v>15</v>
      </c>
      <c r="H45" s="9" t="inlineStr">
        <is>
          <t>AMBER</t>
        </is>
      </c>
    </row>
    <row r="46">
      <c r="A46" s="9" t="inlineStr">
        <is>
          <t>L-600</t>
        </is>
      </c>
      <c r="B46" s="9" t="inlineStr">
        <is>
          <t>Administrative &amp; General</t>
        </is>
      </c>
      <c r="C46" s="9" t="inlineStr">
        <is>
          <t>25.0</t>
        </is>
      </c>
      <c r="D46" s="10" t="n">
        <v>3465</v>
      </c>
      <c r="E46" s="10" t="n">
        <v>3985</v>
      </c>
      <c r="F46" s="10" t="n">
        <v>520</v>
      </c>
      <c r="G46" s="11" t="n">
        <v>15</v>
      </c>
      <c r="H46" s="9" t="inlineStr">
        <is>
          <t>AMBER</t>
        </is>
      </c>
    </row>
    <row r="47">
      <c r="A47" s="9" t="inlineStr">
        <is>
          <t>L-600</t>
        </is>
      </c>
      <c r="B47" s="9" t="inlineStr">
        <is>
          <t>Administrative &amp; General</t>
        </is>
      </c>
      <c r="C47" s="9" t="inlineStr">
        <is>
          <t>13.1</t>
        </is>
      </c>
      <c r="D47" s="10" t="n">
        <v>2186</v>
      </c>
      <c r="E47" s="10" t="n">
        <v>1858</v>
      </c>
      <c r="F47" s="10" t="n">
        <v>-328</v>
      </c>
      <c r="G47" s="11" t="n">
        <v>-15</v>
      </c>
      <c r="H47" s="9" t="inlineStr">
        <is>
          <t>AMBER</t>
        </is>
      </c>
    </row>
    <row r="48">
      <c r="A48" s="9" t="inlineStr">
        <is>
          <t>L-500</t>
        </is>
      </c>
      <c r="B48" s="9" t="inlineStr">
        <is>
          <t>Patient Support</t>
        </is>
      </c>
      <c r="C48" s="9" t="inlineStr">
        <is>
          <t>11.1</t>
        </is>
      </c>
      <c r="D48" s="10" t="n">
        <v>4119</v>
      </c>
      <c r="E48" s="10" t="n">
        <v>4737</v>
      </c>
      <c r="F48" s="10" t="n">
        <v>618</v>
      </c>
      <c r="G48" s="11" t="n">
        <v>15</v>
      </c>
      <c r="H48" s="9" t="inlineStr">
        <is>
          <t>AMBER</t>
        </is>
      </c>
    </row>
    <row r="49">
      <c r="A49" s="9" t="inlineStr">
        <is>
          <t>L-600</t>
        </is>
      </c>
      <c r="B49" s="9" t="inlineStr">
        <is>
          <t>Administrative &amp; General</t>
        </is>
      </c>
      <c r="C49" s="9" t="inlineStr">
        <is>
          <t>11.2</t>
        </is>
      </c>
      <c r="D49" s="10" t="n">
        <v>4466</v>
      </c>
      <c r="E49" s="10" t="n">
        <v>5136</v>
      </c>
      <c r="F49" s="10" t="n">
        <v>670</v>
      </c>
      <c r="G49" s="11" t="n">
        <v>15</v>
      </c>
      <c r="H49" s="9" t="inlineStr">
        <is>
          <t>AMBER</t>
        </is>
      </c>
    </row>
    <row r="50">
      <c r="A50" s="9" t="inlineStr">
        <is>
          <t>L-400</t>
        </is>
      </c>
      <c r="B50" s="9" t="inlineStr">
        <is>
          <t>Pharmacy Operations</t>
        </is>
      </c>
      <c r="C50" s="9" t="inlineStr">
        <is>
          <t>25.0</t>
        </is>
      </c>
      <c r="D50" s="10" t="n">
        <v>3933</v>
      </c>
      <c r="E50" s="10" t="n">
        <v>3343</v>
      </c>
      <c r="F50" s="10" t="n">
        <v>-590</v>
      </c>
      <c r="G50" s="11" t="n">
        <v>-15</v>
      </c>
      <c r="H50" s="9" t="inlineStr">
        <is>
          <t>AMBER</t>
        </is>
      </c>
    </row>
    <row r="51">
      <c r="A51" s="9" t="inlineStr">
        <is>
          <t>L-600</t>
        </is>
      </c>
      <c r="B51" s="9" t="inlineStr">
        <is>
          <t>Administrative &amp; General</t>
        </is>
      </c>
      <c r="C51" s="9" t="inlineStr">
        <is>
          <t>31.0</t>
        </is>
      </c>
      <c r="D51" s="10" t="n">
        <v>2921</v>
      </c>
      <c r="E51" s="10" t="n">
        <v>3359</v>
      </c>
      <c r="F51" s="10" t="n">
        <v>438</v>
      </c>
      <c r="G51" s="11" t="n">
        <v>15</v>
      </c>
      <c r="H51" s="9" t="inlineStr">
        <is>
          <t>AMBER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2026-09-11T18:22:15Z</dcterms:created>
  <dcterms:modified xmlns:dcterms="http://purl.org/dc/terms/" xmlns:xsi="http://www.w3.org/2001/XMLSchema-instance" xsi:type="dcterms:W3CDTF">2026-09-11T18:22:15Z</dcterms:modified>
</cp:coreProperties>
</file>