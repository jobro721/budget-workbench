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tion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rossChecks" sheetId="3" state="visible" r:id="rId3"/>
  </sheets>
  <definedNames>
    <definedName name="TOPDOWN_ALLOC">CrossChecks!$B$5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Georgia"/>
      <b val="1"/>
      <color rgb="001E4B38"/>
      <sz val="14"/>
    </font>
    <font>
      <name val="Georgia"/>
      <b val="1"/>
      <color rgb="001E4B3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double">
        <color rgb="00A68A5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7" customWidth="1" min="3" max="3"/>
    <col width="13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Budget Formulation (driver-based) — synthetic agency</t>
        </is>
      </c>
    </row>
    <row r="2">
      <c r="A2" t="inlineStr">
        <is>
          <t>FY+1 is UnitCount x UnitCost; FY+2..FY+5 apply the growth rate. Every driver change is logged on the Assumptions tab.</t>
        </is>
      </c>
    </row>
    <row r="3">
      <c r="A3" s="2" t="inlineStr">
        <is>
          <t>Line</t>
        </is>
      </c>
      <c r="B3" s="2" t="inlineStr">
        <is>
          <t>LineName</t>
        </is>
      </c>
      <c r="C3" s="2" t="inlineStr">
        <is>
          <t>Driver</t>
        </is>
      </c>
      <c r="D3" s="2" t="inlineStr">
        <is>
          <t>UnitCount</t>
        </is>
      </c>
      <c r="E3" s="2" t="inlineStr">
        <is>
          <t>UnitCost</t>
        </is>
      </c>
      <c r="F3" s="2" t="inlineStr">
        <is>
          <t>Growth%</t>
        </is>
      </c>
      <c r="G3" s="2" t="inlineStr">
        <is>
          <t>FY+1</t>
        </is>
      </c>
      <c r="H3" s="2" t="inlineStr">
        <is>
          <t>FY+2</t>
        </is>
      </c>
      <c r="I3" s="2" t="inlineStr">
        <is>
          <t>FY+3</t>
        </is>
      </c>
    </row>
    <row r="4">
      <c r="A4" t="inlineStr">
        <is>
          <t>L-100</t>
        </is>
      </c>
      <c r="B4" t="inlineStr">
        <is>
          <t>Clinical Services</t>
        </is>
      </c>
      <c r="C4" t="inlineStr">
        <is>
          <t>FTE count</t>
        </is>
      </c>
      <c r="D4" s="3" t="n">
        <v>120</v>
      </c>
      <c r="E4" s="3" t="n">
        <v>96000</v>
      </c>
      <c r="F4" s="4" t="n">
        <v>0.03</v>
      </c>
      <c r="G4" s="3">
        <f>D4*E4</f>
        <v/>
      </c>
      <c r="H4" s="3">
        <f>G4*(1+F4)</f>
        <v/>
      </c>
      <c r="I4" s="3">
        <f>H4*(1+F4)</f>
        <v/>
      </c>
    </row>
    <row r="5">
      <c r="A5" t="inlineStr">
        <is>
          <t>L-200</t>
        </is>
      </c>
      <c r="B5" t="inlineStr">
        <is>
          <t>Outpatient Care</t>
        </is>
      </c>
      <c r="C5" t="inlineStr">
        <is>
          <t>visit count</t>
        </is>
      </c>
      <c r="D5" s="3" t="n">
        <v>48000</v>
      </c>
      <c r="E5" s="3" t="n">
        <v>42</v>
      </c>
      <c r="F5" s="4" t="n">
        <v>0.05</v>
      </c>
      <c r="G5" s="3">
        <f>D5*E5</f>
        <v/>
      </c>
      <c r="H5" s="3">
        <f>G5*(1+F5)</f>
        <v/>
      </c>
      <c r="I5" s="3">
        <f>H5*(1+F5)</f>
        <v/>
      </c>
    </row>
    <row r="6">
      <c r="A6" t="inlineStr">
        <is>
          <t>L-300</t>
        </is>
      </c>
      <c r="B6" t="inlineStr">
        <is>
          <t>Inpatient Care</t>
        </is>
      </c>
      <c r="C6" t="inlineStr">
        <is>
          <t>discharge count</t>
        </is>
      </c>
      <c r="D6" s="3" t="n">
        <v>2100</v>
      </c>
      <c r="E6" s="3" t="n">
        <v>18500</v>
      </c>
      <c r="F6" s="4" t="n">
        <v>0.04</v>
      </c>
      <c r="G6" s="3">
        <f>D6*E6</f>
        <v/>
      </c>
      <c r="H6" s="3">
        <f>G6*(1+F6)</f>
        <v/>
      </c>
      <c r="I6" s="3">
        <f>H6*(1+F6)</f>
        <v/>
      </c>
    </row>
    <row r="7">
      <c r="A7" t="inlineStr">
        <is>
          <t>L-400</t>
        </is>
      </c>
      <c r="B7" t="inlineStr">
        <is>
          <t>Pharmacy Operations</t>
        </is>
      </c>
      <c r="C7" t="inlineStr">
        <is>
          <t>script count</t>
        </is>
      </c>
      <c r="D7" s="3" t="n">
        <v>65000</v>
      </c>
      <c r="E7" s="3" t="n">
        <v>18</v>
      </c>
      <c r="F7" s="4" t="n">
        <v>0.06</v>
      </c>
      <c r="G7" s="3">
        <f>D7*E7</f>
        <v/>
      </c>
      <c r="H7" s="3">
        <f>G7*(1+F7)</f>
        <v/>
      </c>
      <c r="I7" s="3">
        <f>H7*(1+F7)</f>
        <v/>
      </c>
    </row>
    <row r="8">
      <c r="A8" t="inlineStr">
        <is>
          <t>L-500</t>
        </is>
      </c>
      <c r="B8" t="inlineStr">
        <is>
          <t>Patient Support</t>
        </is>
      </c>
      <c r="C8" t="inlineStr">
        <is>
          <t>enrollment</t>
        </is>
      </c>
      <c r="D8" s="3" t="n">
        <v>15000</v>
      </c>
      <c r="E8" s="3" t="n">
        <v>340</v>
      </c>
      <c r="F8" s="4" t="n">
        <v>0.045</v>
      </c>
      <c r="G8" s="3">
        <f>D8*E8</f>
        <v/>
      </c>
      <c r="H8" s="3">
        <f>G8*(1+F8)</f>
        <v/>
      </c>
      <c r="I8" s="3">
        <f>H8*(1+F8)</f>
        <v/>
      </c>
    </row>
    <row r="9">
      <c r="A9" t="inlineStr">
        <is>
          <t>L-600</t>
        </is>
      </c>
      <c r="B9" t="inlineStr">
        <is>
          <t>Administrative &amp; General</t>
        </is>
      </c>
      <c r="C9" t="inlineStr">
        <is>
          <t>FTE count</t>
        </is>
      </c>
      <c r="D9" s="3" t="n">
        <v>85</v>
      </c>
      <c r="E9" s="3" t="n">
        <v>88000</v>
      </c>
      <c r="F9" s="4" t="n">
        <v>0.025</v>
      </c>
      <c r="G9" s="3">
        <f>D9*E9</f>
        <v/>
      </c>
      <c r="H9" s="3">
        <f>G9*(1+F9)</f>
        <v/>
      </c>
      <c r="I9" s="3">
        <f>H9*(1+F9)</f>
        <v/>
      </c>
    </row>
    <row r="10"/>
    <row r="11">
      <c r="B11" s="5" t="inlineStr">
        <is>
          <t>TOTAL</t>
        </is>
      </c>
      <c r="D11" s="6">
        <f>SUM(D4:D9)</f>
        <v/>
      </c>
      <c r="G11" s="6">
        <f>SUM(G4:G9)</f>
        <v/>
      </c>
      <c r="H11" s="6">
        <f>SUM(H4:H9)</f>
        <v/>
      </c>
      <c r="I11" s="6">
        <f>SUM(I4:I9)</f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3" customWidth="1" min="3" max="3"/>
    <col width="11" customWidth="1" min="4" max="4"/>
    <col width="11" customWidth="1" min="5" max="5"/>
    <col width="25" customWidth="1" min="6" max="6"/>
    <col width="10" customWidth="1" min="7" max="7"/>
  </cols>
  <sheetData>
    <row r="1">
      <c r="A1" s="1" t="inlineStr">
        <is>
          <t>Assumptions Log — every driver change, dated and sourced</t>
        </is>
      </c>
    </row>
    <row r="2"/>
    <row r="3">
      <c r="A3" s="2" t="inlineStr">
        <is>
          <t>Date</t>
        </is>
      </c>
      <c r="B3" s="2" t="inlineStr">
        <is>
          <t>Change</t>
        </is>
      </c>
      <c r="C3" s="2" t="inlineStr">
        <is>
          <t>Driver</t>
        </is>
      </c>
      <c r="D3" s="2" t="inlineStr">
        <is>
          <t>Old Value</t>
        </is>
      </c>
      <c r="E3" s="2" t="inlineStr">
        <is>
          <t>New Value</t>
        </is>
      </c>
      <c r="F3" s="2" t="inlineStr">
        <is>
          <t>Source</t>
        </is>
      </c>
      <c r="G3" s="2" t="inlineStr">
        <is>
          <t>Author</t>
        </is>
      </c>
    </row>
    <row r="4">
      <c r="A4" t="inlineStr">
        <is>
          <t>2026-09-01</t>
        </is>
      </c>
      <c r="B4" t="inlineStr">
        <is>
          <t>Initial load (synthetic seed 20260911)</t>
        </is>
      </c>
      <c r="C4" t="inlineStr">
        <is>
          <t>all</t>
        </is>
      </c>
      <c r="D4" t="inlineStr"/>
      <c r="E4" t="inlineStr"/>
      <c r="F4" t="inlineStr">
        <is>
          <t>python/make_data.py</t>
        </is>
      </c>
      <c r="G4" t="inlineStr">
        <is>
          <t>template</t>
        </is>
      </c>
    </row>
    <row r="5">
      <c r="A5" t="inlineStr">
        <is>
          <t>2026-09-11</t>
        </is>
      </c>
      <c r="B5" t="inlineStr">
        <is>
          <t>Outpatient visit growth set to plan</t>
        </is>
      </c>
      <c r="C5" t="inlineStr">
        <is>
          <t>visit count</t>
        </is>
      </c>
      <c r="D5" t="inlineStr"/>
      <c r="E5" t="inlineStr">
        <is>
          <t>5.0%</t>
        </is>
      </c>
      <c r="F5" t="inlineStr">
        <is>
          <t>synthetic planning memo</t>
        </is>
      </c>
      <c r="G5" t="inlineStr">
        <is>
          <t>template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36" customWidth="1" min="4" max="4"/>
  </cols>
  <sheetData>
    <row r="1">
      <c r="A1" s="1" t="inlineStr">
        <is>
          <t>Cross-Checks — bottom-up vs top-down</t>
        </is>
      </c>
    </row>
    <row r="2"/>
    <row r="3">
      <c r="A3" s="2" t="inlineStr">
        <is>
          <t>Check</t>
        </is>
      </c>
      <c r="B3" s="2" t="inlineStr">
        <is>
          <t>Value</t>
        </is>
      </c>
      <c r="C3" s="2" t="inlineStr">
        <is>
          <t>Limit</t>
        </is>
      </c>
      <c r="D3" s="2" t="inlineStr">
        <is>
          <t>Result</t>
        </is>
      </c>
    </row>
    <row r="4">
      <c r="A4" t="inlineStr">
        <is>
          <t>Bottom-up FY+1 total</t>
        </is>
      </c>
      <c r="B4" s="3">
        <f>Formulation!G11</f>
        <v/>
      </c>
    </row>
    <row r="5">
      <c r="A5" t="inlineStr">
        <is>
          <t>Top-down allocation (named range)</t>
        </is>
      </c>
      <c r="B5" s="3" t="n">
        <v>66797360</v>
      </c>
    </row>
    <row r="6">
      <c r="A6" t="inlineStr">
        <is>
          <t>Difference</t>
        </is>
      </c>
      <c r="B6" s="3">
        <f>B4-B5</f>
        <v/>
      </c>
    </row>
    <row r="7">
      <c r="A7" t="inlineStr">
        <is>
          <t>Tolerance %</t>
        </is>
      </c>
      <c r="B7" s="4" t="n">
        <v>0.02</v>
      </c>
    </row>
    <row r="8">
      <c r="A8" t="inlineStr">
        <is>
          <t>Result</t>
        </is>
      </c>
      <c r="D8">
        <f>IF(ABS(B6/B4)&lt;B7,"PASS","REVIEW")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2026-09-11T18:22:15Z</dcterms:created>
  <dcterms:modified xmlns:dcterms="http://purl.org/dc/terms/" xmlns:xsi="http://www.w3.org/2001/XMLSchema-instance" xsi:type="dcterms:W3CDTF">2026-09-11T18:22:15Z</dcterms:modified>
</cp:coreProperties>
</file>