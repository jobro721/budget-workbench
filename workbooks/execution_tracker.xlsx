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" sheetId="1" state="visible" r:id="rId1"/>
    <sheet xmlns:r="http://schemas.openxmlformats.org/officeDocument/2006/relationships" name="ByPeriod" sheetId="2" state="visible" r:id="rId2"/>
  </sheets>
  <definedNames>
    <definedName name="PACING_TARGET">Execution!$J$1</definedName>
    <definedName name="VAR_BAND_PCT">Execution!$J$2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Georgia"/>
      <b val="1"/>
      <color rgb="001E4B38"/>
      <sz val="14"/>
    </font>
    <font>
      <name val="Georgia"/>
      <b val="1"/>
      <color rgb="001E4B3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double">
        <color rgb="00A68A5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EEDD"/>
        </patternFill>
      </fill>
    </dxf>
    <dxf>
      <fill>
        <patternFill patternType="solid">
          <fgColor rgb="00F3E1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7" customWidth="1" min="3" max="3"/>
    <col width="11" customWidth="1" min="4" max="4"/>
    <col width="10" customWidth="1" min="5" max="5"/>
    <col width="10" customWidth="1" min="6" max="6"/>
    <col width="23" customWidth="1" min="7" max="7"/>
    <col width="10" customWidth="1" min="8" max="8"/>
    <col width="17" customWidth="1" min="9" max="9"/>
    <col width="10" customWidth="1" min="10" max="10"/>
  </cols>
  <sheetData>
    <row r="1">
      <c r="A1" s="1" t="inlineStr">
        <is>
          <t>Execution Tracker — synthetic agency (seed 20260911)</t>
        </is>
      </c>
      <c r="I1" t="inlineStr">
        <is>
          <t>Pacing target</t>
        </is>
      </c>
      <c r="J1" t="n">
        <v>0.85</v>
      </c>
    </row>
    <row r="2">
      <c r="A2" t="inlineStr">
        <is>
          <t>Budget authority, obligations and outlays by account x object class. UOB and Pacing are live formulas.</t>
        </is>
      </c>
      <c r="I2" t="inlineStr">
        <is>
          <t>variance band %</t>
        </is>
      </c>
      <c r="J2" t="n">
        <v>10</v>
      </c>
    </row>
    <row r="3">
      <c r="A3" s="2" t="inlineStr">
        <is>
          <t>Account</t>
        </is>
      </c>
      <c r="B3" s="2" t="inlineStr">
        <is>
          <t>ObjectClass</t>
        </is>
      </c>
      <c r="C3" s="2" t="inlineStr">
        <is>
          <t>BudgetAuthority</t>
        </is>
      </c>
      <c r="D3" s="2" t="inlineStr">
        <is>
          <t>Obligated</t>
        </is>
      </c>
      <c r="E3" s="2" t="inlineStr">
        <is>
          <t>Outlay</t>
        </is>
      </c>
      <c r="F3" s="2" t="inlineStr">
        <is>
          <t>UOB</t>
        </is>
      </c>
      <c r="G3" s="2" t="inlineStr">
        <is>
          <t>Pacing%</t>
        </is>
      </c>
    </row>
    <row r="4">
      <c r="A4" t="inlineStr">
        <is>
          <t>099-0001</t>
        </is>
      </c>
      <c r="B4" t="inlineStr">
        <is>
          <t>11.1</t>
        </is>
      </c>
      <c r="C4" s="3" t="n">
        <v>5124</v>
      </c>
      <c r="D4" s="3" t="n">
        <v>3842</v>
      </c>
      <c r="E4" s="3" t="n">
        <v>6249</v>
      </c>
      <c r="F4" s="3">
        <f>D4-E4</f>
        <v/>
      </c>
      <c r="G4" s="4">
        <f>IF(C4&gt;0,D4/C4,"")</f>
        <v/>
      </c>
    </row>
    <row r="5">
      <c r="A5" t="inlineStr">
        <is>
          <t>099-0001</t>
        </is>
      </c>
      <c r="B5" t="inlineStr">
        <is>
          <t>11.2</t>
        </is>
      </c>
      <c r="C5" s="3" t="n">
        <v>5561</v>
      </c>
      <c r="D5" s="3" t="n">
        <v>4455</v>
      </c>
      <c r="E5" s="3" t="n">
        <v>6782</v>
      </c>
      <c r="F5" s="3">
        <f>D5-E5</f>
        <v/>
      </c>
      <c r="G5" s="4">
        <f>IF(C5&gt;0,D5/C5,"")</f>
        <v/>
      </c>
    </row>
    <row r="6">
      <c r="A6" t="inlineStr">
        <is>
          <t>099-0001</t>
        </is>
      </c>
      <c r="B6" t="inlineStr">
        <is>
          <t>12.1</t>
        </is>
      </c>
      <c r="C6" s="3" t="n">
        <v>6259</v>
      </c>
      <c r="D6" s="3" t="n">
        <v>4990</v>
      </c>
      <c r="E6" s="3" t="n">
        <v>7633</v>
      </c>
      <c r="F6" s="3">
        <f>D6-E6</f>
        <v/>
      </c>
      <c r="G6" s="4">
        <f>IF(C6&gt;0,D6/C6,"")</f>
        <v/>
      </c>
    </row>
    <row r="7">
      <c r="A7" t="inlineStr">
        <is>
          <t>099-0001</t>
        </is>
      </c>
      <c r="B7" t="inlineStr">
        <is>
          <t>13.1</t>
        </is>
      </c>
      <c r="C7" s="3" t="n">
        <v>7197</v>
      </c>
      <c r="D7" s="3" t="n">
        <v>5094</v>
      </c>
      <c r="E7" s="3" t="n">
        <v>8777</v>
      </c>
      <c r="F7" s="3">
        <f>D7-E7</f>
        <v/>
      </c>
      <c r="G7" s="4">
        <f>IF(C7&gt;0,D7/C7,"")</f>
        <v/>
      </c>
    </row>
    <row r="8">
      <c r="A8" t="inlineStr">
        <is>
          <t>099-0001</t>
        </is>
      </c>
      <c r="B8" t="inlineStr">
        <is>
          <t>25.0</t>
        </is>
      </c>
      <c r="C8" s="3" t="n">
        <v>4514</v>
      </c>
      <c r="D8" s="3" t="n">
        <v>3496</v>
      </c>
      <c r="E8" s="3" t="n">
        <v>5505</v>
      </c>
      <c r="F8" s="3">
        <f>D8-E8</f>
        <v/>
      </c>
      <c r="G8" s="4">
        <f>IF(C8&gt;0,D8/C8,"")</f>
        <v/>
      </c>
    </row>
    <row r="9">
      <c r="A9" t="inlineStr">
        <is>
          <t>099-0001</t>
        </is>
      </c>
      <c r="B9" t="inlineStr">
        <is>
          <t>31.0</t>
        </is>
      </c>
      <c r="C9" s="3" t="n">
        <v>4469</v>
      </c>
      <c r="D9" s="3" t="n">
        <v>3417</v>
      </c>
      <c r="E9" s="3" t="n">
        <v>5450</v>
      </c>
      <c r="F9" s="3">
        <f>D9-E9</f>
        <v/>
      </c>
      <c r="G9" s="4">
        <f>IF(C9&gt;0,D9/C9,"")</f>
        <v/>
      </c>
    </row>
    <row r="10">
      <c r="A10" t="inlineStr">
        <is>
          <t>099-0001</t>
        </is>
      </c>
      <c r="B10" t="inlineStr">
        <is>
          <t>33.0</t>
        </is>
      </c>
      <c r="C10" s="3" t="n">
        <v>8957</v>
      </c>
      <c r="D10" s="3" t="n">
        <v>6679</v>
      </c>
      <c r="E10" s="3" t="n">
        <v>10923</v>
      </c>
      <c r="F10" s="3">
        <f>D10-E10</f>
        <v/>
      </c>
      <c r="G10" s="4">
        <f>IF(C10&gt;0,D10/C10,"")</f>
        <v/>
      </c>
    </row>
    <row r="11">
      <c r="A11" t="inlineStr">
        <is>
          <t>099-0001</t>
        </is>
      </c>
      <c r="B11" t="inlineStr">
        <is>
          <t>95.0</t>
        </is>
      </c>
      <c r="C11" s="3" t="n">
        <v>8178</v>
      </c>
      <c r="D11" s="3" t="n">
        <v>6523</v>
      </c>
      <c r="E11" s="3" t="n">
        <v>9973</v>
      </c>
      <c r="F11" s="3">
        <f>D11-E11</f>
        <v/>
      </c>
      <c r="G11" s="4">
        <f>IF(C11&gt;0,D11/C11,"")</f>
        <v/>
      </c>
    </row>
    <row r="12">
      <c r="A12" t="inlineStr">
        <is>
          <t>099-0002</t>
        </is>
      </c>
      <c r="B12" t="inlineStr">
        <is>
          <t>11.1</t>
        </is>
      </c>
      <c r="C12" s="3" t="n">
        <v>3343</v>
      </c>
      <c r="D12" s="3" t="n">
        <v>2898</v>
      </c>
      <c r="E12" s="3" t="n">
        <v>4077</v>
      </c>
      <c r="F12" s="3">
        <f>D12-E12</f>
        <v/>
      </c>
      <c r="G12" s="4">
        <f>IF(C12&gt;0,D12/C12,"")</f>
        <v/>
      </c>
    </row>
    <row r="13">
      <c r="A13" t="inlineStr">
        <is>
          <t>099-0002</t>
        </is>
      </c>
      <c r="B13" t="inlineStr">
        <is>
          <t>11.2</t>
        </is>
      </c>
      <c r="C13" s="3" t="n">
        <v>5009</v>
      </c>
      <c r="D13" s="3" t="n">
        <v>3614</v>
      </c>
      <c r="E13" s="3" t="n">
        <v>6109</v>
      </c>
      <c r="F13" s="3">
        <f>D13-E13</f>
        <v/>
      </c>
      <c r="G13" s="4">
        <f>IF(C13&gt;0,D13/C13,"")</f>
        <v/>
      </c>
    </row>
    <row r="14">
      <c r="A14" t="inlineStr">
        <is>
          <t>099-0002</t>
        </is>
      </c>
      <c r="B14" t="inlineStr">
        <is>
          <t>12.1</t>
        </is>
      </c>
      <c r="C14" s="3" t="n">
        <v>6403</v>
      </c>
      <c r="D14" s="3" t="n">
        <v>4679</v>
      </c>
      <c r="E14" s="3" t="n">
        <v>7809</v>
      </c>
      <c r="F14" s="3">
        <f>D14-E14</f>
        <v/>
      </c>
      <c r="G14" s="4">
        <f>IF(C14&gt;0,D14/C14,"")</f>
        <v/>
      </c>
    </row>
    <row r="15">
      <c r="A15" t="inlineStr">
        <is>
          <t>099-0002</t>
        </is>
      </c>
      <c r="B15" t="inlineStr">
        <is>
          <t>13.1</t>
        </is>
      </c>
      <c r="C15" s="3" t="n">
        <v>6825</v>
      </c>
      <c r="D15" s="3" t="n">
        <v>5425</v>
      </c>
      <c r="E15" s="3" t="n">
        <v>8323</v>
      </c>
      <c r="F15" s="3">
        <f>D15-E15</f>
        <v/>
      </c>
      <c r="G15" s="4">
        <f>IF(C15&gt;0,D15/C15,"")</f>
        <v/>
      </c>
    </row>
    <row r="16">
      <c r="A16" t="inlineStr">
        <is>
          <t>099-0002</t>
        </is>
      </c>
      <c r="B16" t="inlineStr">
        <is>
          <t>25.0</t>
        </is>
      </c>
      <c r="C16" s="3" t="n">
        <v>2254</v>
      </c>
      <c r="D16" s="3" t="n">
        <v>1739</v>
      </c>
      <c r="E16" s="3" t="n">
        <v>2749</v>
      </c>
      <c r="F16" s="3">
        <f>D16-E16</f>
        <v/>
      </c>
      <c r="G16" s="4">
        <f>IF(C16&gt;0,D16/C16,"")</f>
        <v/>
      </c>
    </row>
    <row r="17">
      <c r="A17" t="inlineStr">
        <is>
          <t>099-0002</t>
        </is>
      </c>
      <c r="B17" t="inlineStr">
        <is>
          <t>31.0</t>
        </is>
      </c>
      <c r="C17" s="3" t="n">
        <v>3172</v>
      </c>
      <c r="D17" s="3" t="n">
        <v>2696</v>
      </c>
      <c r="E17" s="3" t="n">
        <v>3868</v>
      </c>
      <c r="F17" s="3">
        <f>D17-E17</f>
        <v/>
      </c>
      <c r="G17" s="4">
        <f>IF(C17&gt;0,D17/C17,"")</f>
        <v/>
      </c>
    </row>
    <row r="18">
      <c r="A18" t="inlineStr">
        <is>
          <t>099-0002</t>
        </is>
      </c>
      <c r="B18" t="inlineStr">
        <is>
          <t>33.0</t>
        </is>
      </c>
      <c r="C18" s="3" t="n">
        <v>8352</v>
      </c>
      <c r="D18" s="3" t="n">
        <v>7264</v>
      </c>
      <c r="E18" s="3" t="n">
        <v>10185</v>
      </c>
      <c r="F18" s="3">
        <f>D18-E18</f>
        <v/>
      </c>
      <c r="G18" s="4">
        <f>IF(C18&gt;0,D18/C18,"")</f>
        <v/>
      </c>
    </row>
    <row r="19">
      <c r="A19" t="inlineStr">
        <is>
          <t>099-0002</t>
        </is>
      </c>
      <c r="B19" t="inlineStr">
        <is>
          <t>95.0</t>
        </is>
      </c>
      <c r="C19" s="3" t="n">
        <v>10306</v>
      </c>
      <c r="D19" s="3" t="n">
        <v>8402</v>
      </c>
      <c r="E19" s="3" t="n">
        <v>12568</v>
      </c>
      <c r="F19" s="3">
        <f>D19-E19</f>
        <v/>
      </c>
      <c r="G19" s="4">
        <f>IF(C19&gt;0,D19/C19,"")</f>
        <v/>
      </c>
    </row>
    <row r="20">
      <c r="A20" t="inlineStr">
        <is>
          <t>099-0003</t>
        </is>
      </c>
      <c r="B20" t="inlineStr">
        <is>
          <t>11.1</t>
        </is>
      </c>
      <c r="C20" s="3" t="n">
        <v>4229</v>
      </c>
      <c r="D20" s="3" t="n">
        <v>3443</v>
      </c>
      <c r="E20" s="3" t="n">
        <v>5157</v>
      </c>
      <c r="F20" s="3">
        <f>D20-E20</f>
        <v/>
      </c>
      <c r="G20" s="4">
        <f>IF(C20&gt;0,D20/C20,"")</f>
        <v/>
      </c>
    </row>
    <row r="21">
      <c r="A21" t="inlineStr">
        <is>
          <t>099-0003</t>
        </is>
      </c>
      <c r="B21" t="inlineStr">
        <is>
          <t>11.2</t>
        </is>
      </c>
      <c r="C21" s="3" t="n">
        <v>5481</v>
      </c>
      <c r="D21" s="3" t="n">
        <v>4467</v>
      </c>
      <c r="E21" s="3" t="n">
        <v>6684</v>
      </c>
      <c r="F21" s="3">
        <f>D21-E21</f>
        <v/>
      </c>
      <c r="G21" s="4">
        <f>IF(C21&gt;0,D21/C21,"")</f>
        <v/>
      </c>
    </row>
    <row r="22">
      <c r="A22" t="inlineStr">
        <is>
          <t>099-0003</t>
        </is>
      </c>
      <c r="B22" t="inlineStr">
        <is>
          <t>12.1</t>
        </is>
      </c>
      <c r="C22" s="3" t="n">
        <v>9012</v>
      </c>
      <c r="D22" s="3" t="n">
        <v>7182</v>
      </c>
      <c r="E22" s="3" t="n">
        <v>10990</v>
      </c>
      <c r="F22" s="3">
        <f>D22-E22</f>
        <v/>
      </c>
      <c r="G22" s="4">
        <f>IF(C22&gt;0,D22/C22,"")</f>
        <v/>
      </c>
    </row>
    <row r="23">
      <c r="A23" t="inlineStr">
        <is>
          <t>099-0003</t>
        </is>
      </c>
      <c r="B23" t="inlineStr">
        <is>
          <t>13.1</t>
        </is>
      </c>
      <c r="C23" s="3" t="n">
        <v>2904</v>
      </c>
      <c r="D23" s="3" t="n">
        <v>2311</v>
      </c>
      <c r="E23" s="3" t="n">
        <v>3541</v>
      </c>
      <c r="F23" s="3">
        <f>D23-E23</f>
        <v/>
      </c>
      <c r="G23" s="4">
        <f>IF(C23&gt;0,D23/C23,"")</f>
        <v/>
      </c>
    </row>
    <row r="24">
      <c r="A24" t="inlineStr">
        <is>
          <t>099-0003</t>
        </is>
      </c>
      <c r="B24" t="inlineStr">
        <is>
          <t>25.0</t>
        </is>
      </c>
      <c r="C24" s="3" t="n">
        <v>5730</v>
      </c>
      <c r="D24" s="3" t="n">
        <v>4275</v>
      </c>
      <c r="E24" s="3" t="n">
        <v>6988</v>
      </c>
      <c r="F24" s="3">
        <f>D24-E24</f>
        <v/>
      </c>
      <c r="G24" s="4">
        <f>IF(C24&gt;0,D24/C24,"")</f>
        <v/>
      </c>
    </row>
    <row r="25">
      <c r="A25" t="inlineStr">
        <is>
          <t>099-0003</t>
        </is>
      </c>
      <c r="B25" t="inlineStr">
        <is>
          <t>31.0</t>
        </is>
      </c>
      <c r="C25" s="3" t="n">
        <v>6867</v>
      </c>
      <c r="D25" s="3" t="n">
        <v>5721</v>
      </c>
      <c r="E25" s="3" t="n">
        <v>8374</v>
      </c>
      <c r="F25" s="3">
        <f>D25-E25</f>
        <v/>
      </c>
      <c r="G25" s="4">
        <f>IF(C25&gt;0,D25/C25,"")</f>
        <v/>
      </c>
    </row>
    <row r="26">
      <c r="A26" t="inlineStr">
        <is>
          <t>099-0003</t>
        </is>
      </c>
      <c r="B26" t="inlineStr">
        <is>
          <t>33.0</t>
        </is>
      </c>
      <c r="C26" s="3" t="n">
        <v>7067</v>
      </c>
      <c r="D26" s="3" t="n">
        <v>5740</v>
      </c>
      <c r="E26" s="3" t="n">
        <v>8618</v>
      </c>
      <c r="F26" s="3">
        <f>D26-E26</f>
        <v/>
      </c>
      <c r="G26" s="4">
        <f>IF(C26&gt;0,D26/C26,"")</f>
        <v/>
      </c>
    </row>
    <row r="27">
      <c r="A27" t="inlineStr">
        <is>
          <t>099-0003</t>
        </is>
      </c>
      <c r="B27" t="inlineStr">
        <is>
          <t>95.0</t>
        </is>
      </c>
      <c r="C27" s="3" t="n">
        <v>8694</v>
      </c>
      <c r="D27" s="3" t="n">
        <v>6619</v>
      </c>
      <c r="E27" s="3" t="n">
        <v>10602</v>
      </c>
      <c r="F27" s="3">
        <f>D27-E27</f>
        <v/>
      </c>
      <c r="G27" s="4">
        <f>IF(C27&gt;0,D27/C27,"")</f>
        <v/>
      </c>
    </row>
    <row r="28">
      <c r="A28" t="inlineStr">
        <is>
          <t>099-0004</t>
        </is>
      </c>
      <c r="B28" t="inlineStr">
        <is>
          <t>11.1</t>
        </is>
      </c>
      <c r="C28" s="3" t="n">
        <v>7603</v>
      </c>
      <c r="D28" s="3" t="n">
        <v>5709</v>
      </c>
      <c r="E28" s="3" t="n">
        <v>9272</v>
      </c>
      <c r="F28" s="3">
        <f>D28-E28</f>
        <v/>
      </c>
      <c r="G28" s="4">
        <f>IF(C28&gt;0,D28/C28,"")</f>
        <v/>
      </c>
    </row>
    <row r="29">
      <c r="A29" t="inlineStr">
        <is>
          <t>099-0004</t>
        </is>
      </c>
      <c r="B29" t="inlineStr">
        <is>
          <t>11.2</t>
        </is>
      </c>
      <c r="C29" s="3" t="n">
        <v>3775</v>
      </c>
      <c r="D29" s="3" t="n">
        <v>2848</v>
      </c>
      <c r="E29" s="3" t="n">
        <v>4604</v>
      </c>
      <c r="F29" s="3">
        <f>D29-E29</f>
        <v/>
      </c>
      <c r="G29" s="4">
        <f>IF(C29&gt;0,D29/C29,"")</f>
        <v/>
      </c>
    </row>
    <row r="30">
      <c r="A30" t="inlineStr">
        <is>
          <t>099-0004</t>
        </is>
      </c>
      <c r="B30" t="inlineStr">
        <is>
          <t>12.1</t>
        </is>
      </c>
      <c r="C30" s="3" t="n">
        <v>5636</v>
      </c>
      <c r="D30" s="3" t="n">
        <v>3938</v>
      </c>
      <c r="E30" s="3" t="n">
        <v>6873</v>
      </c>
      <c r="F30" s="3">
        <f>D30-E30</f>
        <v/>
      </c>
      <c r="G30" s="4">
        <f>IF(C30&gt;0,D30/C30,"")</f>
        <v/>
      </c>
    </row>
    <row r="31">
      <c r="A31" t="inlineStr">
        <is>
          <t>099-0004</t>
        </is>
      </c>
      <c r="B31" t="inlineStr">
        <is>
          <t>13.1</t>
        </is>
      </c>
      <c r="C31" s="3" t="n">
        <v>6983</v>
      </c>
      <c r="D31" s="3" t="n">
        <v>5440</v>
      </c>
      <c r="E31" s="3" t="n">
        <v>8516</v>
      </c>
      <c r="F31" s="3">
        <f>D31-E31</f>
        <v/>
      </c>
      <c r="G31" s="4">
        <f>IF(C31&gt;0,D31/C31,"")</f>
        <v/>
      </c>
    </row>
    <row r="32">
      <c r="A32" t="inlineStr">
        <is>
          <t>099-0004</t>
        </is>
      </c>
      <c r="B32" t="inlineStr">
        <is>
          <t>25.0</t>
        </is>
      </c>
      <c r="C32" s="3" t="n">
        <v>8897</v>
      </c>
      <c r="D32" s="3" t="n">
        <v>6720</v>
      </c>
      <c r="E32" s="3" t="n">
        <v>10850</v>
      </c>
      <c r="F32" s="3">
        <f>D32-E32</f>
        <v/>
      </c>
      <c r="G32" s="4">
        <f>IF(C32&gt;0,D32/C32,"")</f>
        <v/>
      </c>
    </row>
    <row r="33">
      <c r="A33" t="inlineStr">
        <is>
          <t>099-0004</t>
        </is>
      </c>
      <c r="B33" t="inlineStr">
        <is>
          <t>31.0</t>
        </is>
      </c>
      <c r="C33" s="3" t="n">
        <v>7996</v>
      </c>
      <c r="D33" s="3" t="n">
        <v>6223</v>
      </c>
      <c r="E33" s="3" t="n">
        <v>9751</v>
      </c>
      <c r="F33" s="3">
        <f>D33-E33</f>
        <v/>
      </c>
      <c r="G33" s="4">
        <f>IF(C33&gt;0,D33/C33,"")</f>
        <v/>
      </c>
    </row>
    <row r="34">
      <c r="A34" t="inlineStr">
        <is>
          <t>099-0004</t>
        </is>
      </c>
      <c r="B34" t="inlineStr">
        <is>
          <t>33.0</t>
        </is>
      </c>
      <c r="C34" s="3" t="n">
        <v>6237</v>
      </c>
      <c r="D34" s="3" t="n">
        <v>4945</v>
      </c>
      <c r="E34" s="3" t="n">
        <v>7606</v>
      </c>
      <c r="F34" s="3">
        <f>D34-E34</f>
        <v/>
      </c>
      <c r="G34" s="4">
        <f>IF(C34&gt;0,D34/C34,"")</f>
        <v/>
      </c>
    </row>
    <row r="35">
      <c r="A35" t="inlineStr">
        <is>
          <t>099-0004</t>
        </is>
      </c>
      <c r="B35" t="inlineStr">
        <is>
          <t>95.0</t>
        </is>
      </c>
      <c r="C35" s="3" t="n">
        <v>7374</v>
      </c>
      <c r="D35" s="3" t="n">
        <v>5673</v>
      </c>
      <c r="E35" s="3" t="n">
        <v>8993</v>
      </c>
      <c r="F35" s="3">
        <f>D35-E35</f>
        <v/>
      </c>
      <c r="G35" s="4">
        <f>IF(C35&gt;0,D35/C35,"")</f>
        <v/>
      </c>
    </row>
  </sheetData>
  <mergeCells count="1">
    <mergeCell ref="A1:G1"/>
  </mergeCells>
  <conditionalFormatting sqref="G4:G35">
    <cfRule type="cellIs" priority="1" operator="lessThan" dxfId="0">
      <formula>0.5</formula>
    </cfRule>
    <cfRule type="cellIs" priority="2" operator="greaterThan" dxfId="1">
      <formula>1.0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Obligated by fiscal period — SF-133-style pacing view</t>
        </is>
      </c>
    </row>
    <row r="2"/>
    <row r="3">
      <c r="A3" s="2" t="inlineStr">
        <is>
          <t>Account</t>
        </is>
      </c>
      <c r="B3" s="2" t="inlineStr">
        <is>
          <t>P01</t>
        </is>
      </c>
      <c r="C3" s="2" t="inlineStr">
        <is>
          <t>P02</t>
        </is>
      </c>
      <c r="D3" s="2" t="inlineStr">
        <is>
          <t>P03</t>
        </is>
      </c>
      <c r="E3" s="2" t="inlineStr">
        <is>
          <t>P04</t>
        </is>
      </c>
      <c r="F3" s="2" t="inlineStr">
        <is>
          <t>P05</t>
        </is>
      </c>
      <c r="G3" s="2" t="inlineStr">
        <is>
          <t>P06</t>
        </is>
      </c>
      <c r="H3" s="2" t="inlineStr">
        <is>
          <t>P07</t>
        </is>
      </c>
      <c r="I3" s="2" t="inlineStr">
        <is>
          <t>P08</t>
        </is>
      </c>
      <c r="J3" s="2" t="inlineStr">
        <is>
          <t>P09</t>
        </is>
      </c>
      <c r="K3" s="2" t="inlineStr">
        <is>
          <t>P10</t>
        </is>
      </c>
      <c r="L3" s="2" t="inlineStr">
        <is>
          <t>P11</t>
        </is>
      </c>
      <c r="M3" s="2" t="inlineStr">
        <is>
          <t>P12</t>
        </is>
      </c>
    </row>
    <row r="4">
      <c r="A4" t="inlineStr">
        <is>
          <t>099-0001</t>
        </is>
      </c>
      <c r="B4" s="3" t="n">
        <v>6404</v>
      </c>
      <c r="C4" s="3" t="n">
        <v>4224</v>
      </c>
      <c r="D4" s="3" t="n">
        <v>3570</v>
      </c>
      <c r="E4" s="3" t="n">
        <v>2604</v>
      </c>
      <c r="F4" s="3" t="n">
        <v>4253</v>
      </c>
      <c r="G4" s="3" t="n">
        <v>3457</v>
      </c>
      <c r="H4" s="3" t="n">
        <v>4972</v>
      </c>
      <c r="I4" s="3" t="n">
        <v>3616</v>
      </c>
      <c r="J4" s="3" t="n">
        <v>3251</v>
      </c>
      <c r="K4" s="3" t="n">
        <v>4670</v>
      </c>
      <c r="L4" s="3" t="n">
        <v>4207</v>
      </c>
      <c r="M4" s="3" t="n">
        <v>5031</v>
      </c>
    </row>
    <row r="5">
      <c r="A5" t="inlineStr">
        <is>
          <t>099-0002</t>
        </is>
      </c>
      <c r="B5" s="3" t="n">
        <v>3217</v>
      </c>
      <c r="C5" s="3" t="n">
        <v>3258</v>
      </c>
      <c r="D5" s="3" t="n">
        <v>4198</v>
      </c>
      <c r="E5" s="3" t="n">
        <v>2359</v>
      </c>
      <c r="F5" s="3" t="n">
        <v>2652</v>
      </c>
      <c r="G5" s="3" t="n">
        <v>4825</v>
      </c>
      <c r="H5" s="3" t="n">
        <v>4289</v>
      </c>
      <c r="I5" s="3" t="n">
        <v>3348</v>
      </c>
      <c r="J5" s="3" t="n">
        <v>3760</v>
      </c>
      <c r="K5" s="3" t="n">
        <v>5139</v>
      </c>
      <c r="L5" s="3" t="n">
        <v>4872</v>
      </c>
      <c r="M5" s="3" t="n">
        <v>3747</v>
      </c>
    </row>
    <row r="6">
      <c r="A6" t="inlineStr">
        <is>
          <t>099-0003</t>
        </is>
      </c>
      <c r="B6" s="3" t="n">
        <v>5191</v>
      </c>
      <c r="C6" s="3" t="n">
        <v>6121</v>
      </c>
      <c r="D6" s="3" t="n">
        <v>3614</v>
      </c>
      <c r="E6" s="3" t="n">
        <v>5564</v>
      </c>
      <c r="F6" s="3" t="n">
        <v>5957</v>
      </c>
      <c r="G6" s="3" t="n">
        <v>3460</v>
      </c>
      <c r="H6" s="3" t="n">
        <v>4863</v>
      </c>
      <c r="I6" s="3" t="n">
        <v>3194</v>
      </c>
      <c r="J6" s="3" t="n">
        <v>2858</v>
      </c>
      <c r="K6" s="3" t="n">
        <v>3227</v>
      </c>
      <c r="L6" s="3" t="n">
        <v>3147</v>
      </c>
      <c r="M6" s="3" t="n">
        <v>2788</v>
      </c>
    </row>
    <row r="7">
      <c r="A7" t="inlineStr">
        <is>
          <t>099-0004</t>
        </is>
      </c>
      <c r="B7" s="3" t="n">
        <v>3175</v>
      </c>
      <c r="C7" s="3" t="n">
        <v>6420</v>
      </c>
      <c r="D7" s="3" t="n">
        <v>5630</v>
      </c>
      <c r="E7" s="3" t="n">
        <v>2695</v>
      </c>
      <c r="F7" s="3" t="n">
        <v>5568</v>
      </c>
      <c r="G7" s="3" t="n">
        <v>1926</v>
      </c>
      <c r="H7" s="3" t="n">
        <v>4422</v>
      </c>
      <c r="I7" s="3" t="n">
        <v>5160</v>
      </c>
      <c r="J7" s="3" t="n">
        <v>4452</v>
      </c>
      <c r="K7" s="3" t="n">
        <v>5321</v>
      </c>
      <c r="L7" s="3" t="n">
        <v>4873</v>
      </c>
      <c r="M7" s="3" t="n">
        <v>4859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2026-09-11T18:22:14Z</dcterms:created>
  <dcterms:modified xmlns:dcterms="http://purl.org/dc/terms/" xmlns:xsi="http://www.w3.org/2001/XMLSchema-instance" xsi:type="dcterms:W3CDTF">2026-09-11T18:22:15Z</dcterms:modified>
</cp:coreProperties>
</file>